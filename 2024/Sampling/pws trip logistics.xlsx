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ysemail.sharepoint.com/teams/dec.365.LMAS/Shared Documents/PWS/PWS_Prioritization/2024/Sampling/"/>
    </mc:Choice>
  </mc:AlternateContent>
  <xr:revisionPtr revIDLastSave="217" documentId="13_ncr:1_{BF03945A-CA19-45CF-BA67-C3BAE18CD93B}" xr6:coauthVersionLast="47" xr6:coauthVersionMax="47" xr10:uidLastSave="{17A705BF-3CA0-434E-B6B0-F3F0217A70A3}"/>
  <bookViews>
    <workbookView xWindow="-110" yWindow="-110" windowWidth="19420" windowHeight="10420" activeTab="1" xr2:uid="{7141D065-4A92-4198-9925-4D8017AF2DCE}"/>
  </bookViews>
  <sheets>
    <sheet name="PWS1" sheetId="3" r:id="rId1"/>
    <sheet name="PWS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4" l="1"/>
  <c r="N8" i="4"/>
  <c r="N2" i="4"/>
  <c r="M5" i="3"/>
  <c r="M4" i="3"/>
  <c r="M3" i="3"/>
  <c r="M10" i="3"/>
  <c r="M6" i="3"/>
  <c r="M2" i="3"/>
  <c r="L2" i="3"/>
  <c r="M2" i="4" l="1"/>
</calcChain>
</file>

<file path=xl/sharedStrings.xml><?xml version="1.0" encoding="utf-8"?>
<sst xmlns="http://schemas.openxmlformats.org/spreadsheetml/2006/main" count="126" uniqueCount="69">
  <si>
    <t>y</t>
  </si>
  <si>
    <t>a-epi,hyp</t>
  </si>
  <si>
    <t>N</t>
  </si>
  <si>
    <t>8:30AM</t>
  </si>
  <si>
    <t>PWS1</t>
  </si>
  <si>
    <t>Start</t>
  </si>
  <si>
    <t>1306UWB6070_Unnamed Water</t>
  </si>
  <si>
    <t>1306UWB0683_Unnamed Water</t>
  </si>
  <si>
    <t>1301CAM0163A_Camp Field Reservoir</t>
  </si>
  <si>
    <t>N,MS</t>
  </si>
  <si>
    <t>1301UWB0215B_Unnamed Water</t>
  </si>
  <si>
    <t>1301UWB0438P_Berean Park Pond</t>
  </si>
  <si>
    <t>1301UWB0438D_UNNAMED WATER</t>
  </si>
  <si>
    <t>N,EB</t>
  </si>
  <si>
    <t>FedEx Ship Center - 590 Broadway Menands, NY 12204</t>
  </si>
  <si>
    <t>425 Jordan Rd. Troy, NY</t>
  </si>
  <si>
    <t>basin</t>
  </si>
  <si>
    <t>Trip</t>
  </si>
  <si>
    <t>team</t>
  </si>
  <si>
    <t>Day</t>
  </si>
  <si>
    <t>Order</t>
  </si>
  <si>
    <t>Lake</t>
  </si>
  <si>
    <t>class</t>
  </si>
  <si>
    <t>QC</t>
  </si>
  <si>
    <t>Time</t>
  </si>
  <si>
    <t>Water Time</t>
  </si>
  <si>
    <t>time to drive to next</t>
  </si>
  <si>
    <t>Trip.Total</t>
  </si>
  <si>
    <t>Day.Total</t>
  </si>
  <si>
    <t>7:30AM</t>
  </si>
  <si>
    <t>Arrive</t>
  </si>
  <si>
    <t>Depart</t>
  </si>
  <si>
    <t>4:10PM</t>
  </si>
  <si>
    <t>5:10PM</t>
  </si>
  <si>
    <t>4:30PM</t>
  </si>
  <si>
    <t>8:00AM</t>
  </si>
  <si>
    <t>12:00PM</t>
  </si>
  <si>
    <t>9:05AM</t>
  </si>
  <si>
    <t>1:15PM</t>
  </si>
  <si>
    <t>4:00PM</t>
  </si>
  <si>
    <t>3:00PM</t>
  </si>
  <si>
    <t>Holiday Inn Express West Point, 1106 Rte 9W, Fort Montgomery, NY 10922</t>
  </si>
  <si>
    <t>12:25PM</t>
  </si>
  <si>
    <t>8:10AM</t>
  </si>
  <si>
    <t>10:40AM</t>
  </si>
  <si>
    <t>10:45AM</t>
  </si>
  <si>
    <t>2:15PM</t>
  </si>
  <si>
    <t>3:45PM</t>
  </si>
  <si>
    <t>3:55PM</t>
  </si>
  <si>
    <t>FedEx Ship Center, 288 Larkin Dr, Monroe, New York 10950</t>
  </si>
  <si>
    <t>Hampton Inn &amp; Suites Newburgh Stewart Airport, 1 Crossroads Ct, Newburgh, NY 12550</t>
  </si>
  <si>
    <t>plan</t>
  </si>
  <si>
    <t>emergency</t>
  </si>
  <si>
    <t>PWS2</t>
  </si>
  <si>
    <t>1301UWB0413_Unnamed Water</t>
  </si>
  <si>
    <t>1306UWB6000_Unnamed Water</t>
  </si>
  <si>
    <t>1307KIN0837A_Kingston Rs No 4</t>
  </si>
  <si>
    <t>1005UWB5349_Unnamed Water</t>
  </si>
  <si>
    <t>1101NEW0099C_New Reservoir</t>
  </si>
  <si>
    <t>arrive</t>
  </si>
  <si>
    <t>depart</t>
  </si>
  <si>
    <t>left message with someone there for Derek 6/28</t>
  </si>
  <si>
    <t>1201FOR0681A_Fort Plain Reservoir</t>
  </si>
  <si>
    <t>swapped</t>
  </si>
  <si>
    <t>1201SPRXXX1_Sprite Creek Reservoir</t>
  </si>
  <si>
    <t>1301RES0153_Reservoir</t>
  </si>
  <si>
    <t>left a message 7/1</t>
  </si>
  <si>
    <t>left message 6/28, left another message 7/3.</t>
  </si>
  <si>
    <t>Have to leave at 7:30AM, pick up Lauren at Malta Market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</si>
</sst>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:ss;@"/>
    <numFmt numFmtId="165" formatCode="[h]:mm:ss;@"/>
    <numFmt numFmtId="166" formatCode="0.0000"/>
    <numFmt numFmtId="167" formatCode="mm/dd/yyyy\ hh:mm\ AM/PM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24242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2" fillId="0" borderId="0" xfId="0" applyFont="1"/>
    <xf numFmtId="165" fontId="1" fillId="0" borderId="0" xfId="0" applyNumberFormat="1" applyFont="1"/>
    <xf numFmtId="0" fontId="3" fillId="0" borderId="0" xfId="0" applyFont="1"/>
    <xf numFmtId="166" fontId="3" fillId="0" borderId="0" xfId="0" applyNumberFormat="1" applyFont="1"/>
    <xf numFmtId="167" fontId="3" fillId="0" borderId="0" xfId="0" applyNumberFormat="1" applyFont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164" fontId="1" fillId="0" borderId="3" xfId="0" applyNumberFormat="1" applyFont="1" applyBorder="1"/>
    <xf numFmtId="164" fontId="1" fillId="0" borderId="3" xfId="0" applyNumberFormat="1" applyFont="1" applyBorder="1" applyAlignment="1">
      <alignment horizontal="right"/>
    </xf>
    <xf numFmtId="165" fontId="1" fillId="0" borderId="3" xfId="0" applyNumberFormat="1" applyFont="1" applyBorder="1"/>
    <xf numFmtId="164" fontId="1" fillId="0" borderId="4" xfId="0" applyNumberFormat="1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/>
    <xf numFmtId="164" fontId="1" fillId="0" borderId="0" xfId="0" applyNumberFormat="1" applyFont="1" applyBorder="1"/>
    <xf numFmtId="164" fontId="1" fillId="0" borderId="0" xfId="0" applyNumberFormat="1" applyFont="1" applyBorder="1" applyAlignment="1">
      <alignment horizontal="right"/>
    </xf>
    <xf numFmtId="165" fontId="1" fillId="0" borderId="0" xfId="0" applyNumberFormat="1" applyFont="1" applyBorder="1"/>
    <xf numFmtId="164" fontId="1" fillId="0" borderId="6" xfId="0" applyNumberFormat="1" applyFont="1" applyBorder="1"/>
    <xf numFmtId="0" fontId="3" fillId="0" borderId="0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8" xfId="0" applyFont="1" applyBorder="1"/>
    <xf numFmtId="164" fontId="1" fillId="0" borderId="8" xfId="0" applyNumberFormat="1" applyFont="1" applyBorder="1"/>
    <xf numFmtId="164" fontId="1" fillId="0" borderId="8" xfId="0" applyNumberFormat="1" applyFont="1" applyBorder="1" applyAlignment="1">
      <alignment horizontal="right"/>
    </xf>
    <xf numFmtId="165" fontId="1" fillId="0" borderId="8" xfId="0" applyNumberFormat="1" applyFont="1" applyBorder="1"/>
    <xf numFmtId="164" fontId="1" fillId="0" borderId="9" xfId="0" applyNumberFormat="1" applyFont="1" applyBorder="1"/>
    <xf numFmtId="164" fontId="1" fillId="0" borderId="0" xfId="0" applyNumberFormat="1" applyFont="1" applyFill="1" applyBorder="1"/>
    <xf numFmtId="0" fontId="2" fillId="0" borderId="3" xfId="0" applyFont="1" applyBorder="1"/>
    <xf numFmtId="0" fontId="0" fillId="0" borderId="3" xfId="0" applyBorder="1"/>
    <xf numFmtId="0" fontId="0" fillId="0" borderId="8" xfId="0" applyBorder="1"/>
    <xf numFmtId="0" fontId="0" fillId="0" borderId="0" xfId="0" applyBorder="1"/>
    <xf numFmtId="164" fontId="6" fillId="0" borderId="0" xfId="0" applyNumberFormat="1" applyFont="1" applyFill="1" applyBorder="1"/>
    <xf numFmtId="0" fontId="5" fillId="0" borderId="3" xfId="0" applyFont="1" applyBorder="1"/>
    <xf numFmtId="0" fontId="5" fillId="0" borderId="0" xfId="0" applyFont="1" applyBorder="1"/>
    <xf numFmtId="20" fontId="5" fillId="0" borderId="0" xfId="0" applyNumberFormat="1" applyFont="1" applyBorder="1"/>
    <xf numFmtId="0" fontId="5" fillId="0" borderId="8" xfId="0" applyFont="1" applyBorder="1"/>
    <xf numFmtId="0" fontId="5" fillId="0" borderId="0" xfId="0" applyFont="1"/>
    <xf numFmtId="20" fontId="5" fillId="0" borderId="8" xfId="0" applyNumberFormat="1" applyFont="1" applyBorder="1"/>
    <xf numFmtId="0" fontId="1" fillId="0" borderId="10" xfId="0" applyFont="1" applyBorder="1"/>
    <xf numFmtId="164" fontId="1" fillId="0" borderId="10" xfId="0" applyNumberFormat="1" applyFont="1" applyBorder="1"/>
    <xf numFmtId="164" fontId="1" fillId="0" borderId="10" xfId="0" applyNumberFormat="1" applyFont="1" applyBorder="1" applyAlignment="1">
      <alignment horizontal="right"/>
    </xf>
    <xf numFmtId="165" fontId="1" fillId="0" borderId="10" xfId="0" applyNumberFormat="1" applyFont="1" applyBorder="1"/>
    <xf numFmtId="0" fontId="3" fillId="0" borderId="10" xfId="0" applyFont="1" applyBorder="1"/>
    <xf numFmtId="166" fontId="3" fillId="0" borderId="10" xfId="0" applyNumberFormat="1" applyFont="1" applyBorder="1"/>
    <xf numFmtId="167" fontId="3" fillId="0" borderId="10" xfId="0" applyNumberFormat="1" applyFont="1" applyBorder="1"/>
    <xf numFmtId="0" fontId="3" fillId="0" borderId="1" xfId="0" applyFont="1" applyBorder="1"/>
    <xf numFmtId="166" fontId="3" fillId="0" borderId="1" xfId="0" applyNumberFormat="1" applyFont="1" applyBorder="1"/>
    <xf numFmtId="167" fontId="3" fillId="0" borderId="1" xfId="0" applyNumberFormat="1" applyFont="1" applyBorder="1"/>
    <xf numFmtId="0" fontId="1" fillId="0" borderId="10" xfId="0" applyNumberFormat="1" applyFont="1" applyBorder="1"/>
    <xf numFmtId="0" fontId="1" fillId="0" borderId="0" xfId="0" applyNumberFormat="1" applyFont="1"/>
    <xf numFmtId="0" fontId="1" fillId="0" borderId="1" xfId="0" applyNumberFormat="1" applyFont="1" applyBorder="1"/>
    <xf numFmtId="0" fontId="7" fillId="0" borderId="1" xfId="0" applyNumberFormat="1" applyFont="1" applyBorder="1"/>
    <xf numFmtId="18" fontId="1" fillId="0" borderId="0" xfId="0" applyNumberFormat="1" applyFont="1"/>
    <xf numFmtId="0" fontId="1" fillId="2" borderId="0" xfId="0" applyFont="1" applyFill="1"/>
    <xf numFmtId="164" fontId="1" fillId="2" borderId="0" xfId="0" applyNumberFormat="1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/>
    <xf numFmtId="0" fontId="1" fillId="2" borderId="0" xfId="0" applyNumberFormat="1" applyFont="1" applyFill="1"/>
    <xf numFmtId="18" fontId="1" fillId="2" borderId="0" xfId="0" applyNumberFormat="1" applyFont="1" applyFill="1"/>
    <xf numFmtId="0" fontId="3" fillId="2" borderId="0" xfId="0" applyFont="1" applyFill="1"/>
    <xf numFmtId="166" fontId="3" fillId="2" borderId="0" xfId="0" applyNumberFormat="1" applyFont="1" applyFill="1"/>
    <xf numFmtId="167" fontId="3" fillId="2" borderId="0" xfId="0" applyNumberFormat="1" applyFont="1" applyFill="1"/>
    <xf numFmtId="20" fontId="1" fillId="2" borderId="0" xfId="0" applyNumberFormat="1" applyFont="1" applyFill="1"/>
    <xf numFmtId="0" fontId="1" fillId="3" borderId="0" xfId="0" applyFont="1" applyFill="1"/>
    <xf numFmtId="0" fontId="0" fillId="2" borderId="0" xfId="0" applyFill="1"/>
    <xf numFmtId="18" fontId="3" fillId="0" borderId="10" xfId="0" applyNumberFormat="1" applyFont="1" applyBorder="1"/>
    <xf numFmtId="18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D234-D49B-4F47-8F98-778F63004650}">
  <dimension ref="A1:R14"/>
  <sheetViews>
    <sheetView workbookViewId="0">
      <selection activeCell="N17" sqref="N17"/>
    </sheetView>
  </sheetViews>
  <sheetFormatPr defaultRowHeight="14.5" x14ac:dyDescent="0.35"/>
  <cols>
    <col min="6" max="6" width="28.453125" customWidth="1"/>
    <col min="7" max="13" width="0" hidden="1" customWidth="1"/>
    <col min="14" max="14" width="9.54296875" style="45" bestFit="1" customWidth="1"/>
    <col min="15" max="15" width="8.7265625" style="45"/>
    <col min="17" max="17" width="9.54296875" customWidth="1"/>
    <col min="18" max="18" width="23.453125" bestFit="1" customWidth="1"/>
  </cols>
  <sheetData>
    <row r="1" spans="1:18" ht="15" thickBot="1" x14ac:dyDescent="0.4">
      <c r="A1" s="13" t="s">
        <v>16</v>
      </c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5" t="s">
        <v>23</v>
      </c>
      <c r="I1" s="16" t="s">
        <v>24</v>
      </c>
      <c r="J1" s="17" t="s">
        <v>25</v>
      </c>
      <c r="K1" s="16" t="s">
        <v>26</v>
      </c>
      <c r="L1" s="18" t="s">
        <v>27</v>
      </c>
      <c r="M1" s="19" t="s">
        <v>28</v>
      </c>
      <c r="N1" s="40" t="s">
        <v>30</v>
      </c>
      <c r="O1" s="40" t="s">
        <v>31</v>
      </c>
      <c r="P1" s="35" t="s">
        <v>51</v>
      </c>
      <c r="Q1" s="35" t="s">
        <v>52</v>
      </c>
      <c r="R1" s="35"/>
    </row>
    <row r="2" spans="1:18" s="37" customFormat="1" x14ac:dyDescent="0.35">
      <c r="A2" s="13" t="s">
        <v>4</v>
      </c>
      <c r="B2" s="14">
        <v>6</v>
      </c>
      <c r="C2" s="14">
        <v>1</v>
      </c>
      <c r="D2" s="14">
        <v>1</v>
      </c>
      <c r="E2" s="14">
        <v>1</v>
      </c>
      <c r="F2" s="36" t="s">
        <v>5</v>
      </c>
      <c r="G2" s="14"/>
      <c r="H2" s="14"/>
      <c r="I2" s="16"/>
      <c r="J2" s="17"/>
      <c r="K2" s="16">
        <v>6.5972222222222224E-2</v>
      </c>
      <c r="L2" s="18">
        <f>SUM(I3:I14,K2:K14)</f>
        <v>1.0173611111111114</v>
      </c>
      <c r="M2" s="19">
        <f>SUM(K2:K5,I2:I5)</f>
        <v>0.36805555555555558</v>
      </c>
      <c r="N2" s="41"/>
      <c r="O2" s="41" t="s">
        <v>29</v>
      </c>
    </row>
    <row r="3" spans="1:18" s="39" customFormat="1" x14ac:dyDescent="0.35">
      <c r="A3" s="20" t="s">
        <v>4</v>
      </c>
      <c r="B3" s="21">
        <v>6</v>
      </c>
      <c r="C3" s="21">
        <v>1</v>
      </c>
      <c r="D3" s="21">
        <v>1</v>
      </c>
      <c r="E3" s="21">
        <v>2</v>
      </c>
      <c r="F3" s="22" t="s">
        <v>6</v>
      </c>
      <c r="G3" s="21" t="s">
        <v>1</v>
      </c>
      <c r="H3" s="21" t="s">
        <v>2</v>
      </c>
      <c r="I3" s="23">
        <v>0.10416666666666667</v>
      </c>
      <c r="J3" s="24">
        <v>6.25E-2</v>
      </c>
      <c r="K3" s="23">
        <v>5.2083333333333336E-2</v>
      </c>
      <c r="L3" s="25"/>
      <c r="M3" s="26">
        <f t="shared" ref="M3:M5" si="0">SUM(K3:K6,I3:I6)</f>
        <v>0.31597222222222221</v>
      </c>
      <c r="N3" s="42" t="s">
        <v>37</v>
      </c>
      <c r="O3" s="42" t="s">
        <v>36</v>
      </c>
      <c r="P3" s="39" t="s">
        <v>0</v>
      </c>
    </row>
    <row r="4" spans="1:18" s="39" customFormat="1" x14ac:dyDescent="0.35">
      <c r="A4" s="20" t="s">
        <v>4</v>
      </c>
      <c r="B4" s="21">
        <v>6</v>
      </c>
      <c r="C4" s="21">
        <v>1</v>
      </c>
      <c r="D4" s="21">
        <v>1</v>
      </c>
      <c r="E4" s="21">
        <v>3</v>
      </c>
      <c r="F4" s="22" t="s">
        <v>7</v>
      </c>
      <c r="G4" s="21" t="s">
        <v>1</v>
      </c>
      <c r="H4" s="21" t="s">
        <v>2</v>
      </c>
      <c r="I4" s="23">
        <v>0.10416666666666667</v>
      </c>
      <c r="J4" s="24">
        <v>6.25E-2</v>
      </c>
      <c r="K4" s="23">
        <v>6.9444444444444441E-3</v>
      </c>
      <c r="L4" s="25"/>
      <c r="M4" s="26">
        <f t="shared" si="0"/>
        <v>0.32291666666666669</v>
      </c>
      <c r="N4" s="43" t="s">
        <v>38</v>
      </c>
      <c r="O4" s="42" t="s">
        <v>39</v>
      </c>
      <c r="Q4" s="39" t="s">
        <v>0</v>
      </c>
    </row>
    <row r="5" spans="1:18" s="38" customFormat="1" ht="15" thickBot="1" x14ac:dyDescent="0.4">
      <c r="A5" s="28" t="s">
        <v>4</v>
      </c>
      <c r="B5" s="29">
        <v>6</v>
      </c>
      <c r="C5" s="29">
        <v>1</v>
      </c>
      <c r="D5" s="29">
        <v>1</v>
      </c>
      <c r="E5" s="29">
        <v>4</v>
      </c>
      <c r="F5" s="30" t="s">
        <v>49</v>
      </c>
      <c r="G5" s="29"/>
      <c r="H5" s="29"/>
      <c r="I5" s="31">
        <v>6.9444444444444441E-3</v>
      </c>
      <c r="J5" s="32"/>
      <c r="K5" s="31">
        <v>2.7777777777777776E-2</v>
      </c>
      <c r="L5" s="33"/>
      <c r="M5" s="34">
        <f t="shared" si="0"/>
        <v>0.31597222222222227</v>
      </c>
      <c r="N5" s="44" t="s">
        <v>32</v>
      </c>
      <c r="O5" s="44" t="s">
        <v>34</v>
      </c>
    </row>
    <row r="6" spans="1:18" x14ac:dyDescent="0.35">
      <c r="A6" s="20" t="s">
        <v>4</v>
      </c>
      <c r="B6" s="21">
        <v>6</v>
      </c>
      <c r="C6" s="21">
        <v>1</v>
      </c>
      <c r="D6" s="21">
        <v>2</v>
      </c>
      <c r="E6" s="21">
        <v>1</v>
      </c>
      <c r="F6" s="4" t="s">
        <v>41</v>
      </c>
      <c r="G6" s="21"/>
      <c r="H6" s="21"/>
      <c r="I6" s="23"/>
      <c r="J6" s="24"/>
      <c r="K6" s="23">
        <v>1.3888888888888888E-2</v>
      </c>
      <c r="L6" s="25"/>
      <c r="M6" s="26">
        <f>SUM(I7:I10,K6:K9)</f>
        <v>0.28819444444444442</v>
      </c>
      <c r="N6" s="45" t="s">
        <v>33</v>
      </c>
      <c r="O6" s="45" t="s">
        <v>35</v>
      </c>
    </row>
    <row r="7" spans="1:18" x14ac:dyDescent="0.35">
      <c r="A7" s="20" t="s">
        <v>4</v>
      </c>
      <c r="B7" s="21">
        <v>6</v>
      </c>
      <c r="C7" s="21">
        <v>1</v>
      </c>
      <c r="D7" s="21">
        <v>2</v>
      </c>
      <c r="E7" s="21">
        <v>2</v>
      </c>
      <c r="F7" s="22" t="s">
        <v>8</v>
      </c>
      <c r="G7" s="21" t="s">
        <v>1</v>
      </c>
      <c r="H7" s="21" t="s">
        <v>9</v>
      </c>
      <c r="I7" s="23">
        <v>0.14583333333333334</v>
      </c>
      <c r="J7" s="24">
        <v>6.25E-2</v>
      </c>
      <c r="K7" s="23">
        <v>1.7361111111111112E-2</v>
      </c>
      <c r="L7" s="25"/>
      <c r="M7" s="26">
        <v>0.31597222222222221</v>
      </c>
      <c r="N7" s="45" t="s">
        <v>3</v>
      </c>
      <c r="O7" s="45" t="s">
        <v>36</v>
      </c>
      <c r="P7" t="s">
        <v>0</v>
      </c>
    </row>
    <row r="8" spans="1:18" x14ac:dyDescent="0.35">
      <c r="A8" s="20" t="s">
        <v>4</v>
      </c>
      <c r="B8" s="21">
        <v>6</v>
      </c>
      <c r="C8" s="21">
        <v>1</v>
      </c>
      <c r="D8" s="21">
        <v>2</v>
      </c>
      <c r="E8" s="21">
        <v>3</v>
      </c>
      <c r="F8" s="22" t="s">
        <v>10</v>
      </c>
      <c r="G8" s="21" t="s">
        <v>1</v>
      </c>
      <c r="H8" s="21" t="s">
        <v>2</v>
      </c>
      <c r="I8" s="23">
        <v>0.10416666666666667</v>
      </c>
      <c r="J8" s="24">
        <v>6.25E-2</v>
      </c>
      <c r="K8" s="23"/>
      <c r="L8" s="25"/>
      <c r="M8" s="26">
        <v>0.31597222222222221</v>
      </c>
      <c r="N8" s="45" t="s">
        <v>42</v>
      </c>
      <c r="O8" s="45" t="s">
        <v>40</v>
      </c>
    </row>
    <row r="9" spans="1:18" ht="12" customHeight="1" thickBot="1" x14ac:dyDescent="0.4">
      <c r="A9" s="20" t="s">
        <v>4</v>
      </c>
      <c r="B9" s="21">
        <v>6</v>
      </c>
      <c r="C9" s="21">
        <v>1</v>
      </c>
      <c r="D9" s="21">
        <v>2</v>
      </c>
      <c r="E9" s="21">
        <v>4</v>
      </c>
      <c r="F9" s="4"/>
      <c r="G9" s="21"/>
      <c r="H9" s="21"/>
      <c r="I9" s="23">
        <v>6.9444444444444441E-3</v>
      </c>
      <c r="J9" s="24"/>
      <c r="K9" s="23"/>
      <c r="L9" s="25"/>
      <c r="M9" s="26">
        <v>0.31597222222222221</v>
      </c>
    </row>
    <row r="10" spans="1:18" s="37" customFormat="1" x14ac:dyDescent="0.35">
      <c r="A10" s="13" t="s">
        <v>4</v>
      </c>
      <c r="B10" s="14">
        <v>6</v>
      </c>
      <c r="C10" s="14">
        <v>1</v>
      </c>
      <c r="D10" s="14">
        <v>3</v>
      </c>
      <c r="E10" s="14">
        <v>1</v>
      </c>
      <c r="F10" s="36" t="s">
        <v>50</v>
      </c>
      <c r="G10" s="14"/>
      <c r="H10" s="14"/>
      <c r="I10" s="16"/>
      <c r="J10" s="17"/>
      <c r="K10" s="16">
        <v>2.7777777777777776E-2</v>
      </c>
      <c r="L10" s="18"/>
      <c r="M10" s="19">
        <f>SUM(K10:K14,I11:I14)</f>
        <v>0.3611111111111111</v>
      </c>
      <c r="N10" s="41"/>
      <c r="O10" s="41" t="s">
        <v>29</v>
      </c>
    </row>
    <row r="11" spans="1:18" s="39" customFormat="1" x14ac:dyDescent="0.35">
      <c r="A11" s="20" t="s">
        <v>4</v>
      </c>
      <c r="B11" s="21">
        <v>6</v>
      </c>
      <c r="C11" s="21">
        <v>1</v>
      </c>
      <c r="D11" s="21">
        <v>3</v>
      </c>
      <c r="E11" s="21">
        <v>2</v>
      </c>
      <c r="F11" s="22" t="s">
        <v>11</v>
      </c>
      <c r="G11" s="21" t="s">
        <v>1</v>
      </c>
      <c r="H11" s="27" t="s">
        <v>2</v>
      </c>
      <c r="I11" s="23">
        <v>0.10416666666666667</v>
      </c>
      <c r="J11" s="24">
        <v>6.25E-2</v>
      </c>
      <c r="K11" s="23">
        <v>3.472222222222222E-3</v>
      </c>
      <c r="L11" s="25"/>
      <c r="M11" s="26">
        <v>0.3611111111111111</v>
      </c>
      <c r="N11" s="42" t="s">
        <v>43</v>
      </c>
      <c r="O11" s="42" t="s">
        <v>44</v>
      </c>
      <c r="P11" s="39" t="s">
        <v>0</v>
      </c>
    </row>
    <row r="12" spans="1:18" s="39" customFormat="1" x14ac:dyDescent="0.35">
      <c r="A12" s="20" t="s">
        <v>4</v>
      </c>
      <c r="B12" s="21">
        <v>6</v>
      </c>
      <c r="C12" s="21">
        <v>1</v>
      </c>
      <c r="D12" s="21">
        <v>3</v>
      </c>
      <c r="E12" s="21">
        <v>3</v>
      </c>
      <c r="F12" s="22" t="s">
        <v>12</v>
      </c>
      <c r="G12" s="21" t="s">
        <v>1</v>
      </c>
      <c r="H12" s="21" t="s">
        <v>13</v>
      </c>
      <c r="I12" s="23">
        <v>0.14583333333333334</v>
      </c>
      <c r="J12" s="24">
        <v>6.25E-2</v>
      </c>
      <c r="K12" s="23">
        <v>6.25E-2</v>
      </c>
      <c r="L12" s="25"/>
      <c r="M12" s="26">
        <v>0.3611111111111111</v>
      </c>
      <c r="N12" s="42" t="s">
        <v>45</v>
      </c>
      <c r="O12" s="42" t="s">
        <v>46</v>
      </c>
    </row>
    <row r="13" spans="1:18" s="39" customFormat="1" x14ac:dyDescent="0.35">
      <c r="A13" s="20" t="s">
        <v>4</v>
      </c>
      <c r="B13" s="21">
        <v>6</v>
      </c>
      <c r="C13" s="21">
        <v>1</v>
      </c>
      <c r="D13" s="21">
        <v>3</v>
      </c>
      <c r="E13" s="21">
        <v>4</v>
      </c>
      <c r="F13" s="22" t="s">
        <v>14</v>
      </c>
      <c r="G13" s="21"/>
      <c r="H13" s="21"/>
      <c r="I13" s="23">
        <v>6.9444444444444441E-3</v>
      </c>
      <c r="J13" s="24"/>
      <c r="K13" s="23">
        <v>1.0416666666666666E-2</v>
      </c>
      <c r="L13" s="25"/>
      <c r="M13" s="26">
        <v>0.3611111111111111</v>
      </c>
      <c r="N13" s="42" t="s">
        <v>47</v>
      </c>
      <c r="O13" s="42" t="s">
        <v>48</v>
      </c>
    </row>
    <row r="14" spans="1:18" s="38" customFormat="1" ht="15" thickBot="1" x14ac:dyDescent="0.4">
      <c r="A14" s="28" t="s">
        <v>4</v>
      </c>
      <c r="B14" s="29">
        <v>6</v>
      </c>
      <c r="C14" s="29">
        <v>1</v>
      </c>
      <c r="D14" s="29">
        <v>3</v>
      </c>
      <c r="E14" s="29">
        <v>5</v>
      </c>
      <c r="F14" s="30" t="s">
        <v>15</v>
      </c>
      <c r="G14" s="29"/>
      <c r="H14" s="29"/>
      <c r="I14" s="31"/>
      <c r="J14" s="32"/>
      <c r="K14" s="31"/>
      <c r="L14" s="33"/>
      <c r="M14" s="34">
        <v>0.3611111111111111</v>
      </c>
      <c r="N14" s="46">
        <v>0.17361111111111113</v>
      </c>
      <c r="O14" s="4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0E15D-70DF-4BD1-A17D-1313369F5349}">
  <dimension ref="A1:T15"/>
  <sheetViews>
    <sheetView tabSelected="1" topLeftCell="F1" workbookViewId="0">
      <selection activeCell="H1" sqref="H1:N1048576"/>
    </sheetView>
  </sheetViews>
  <sheetFormatPr defaultRowHeight="14.5" x14ac:dyDescent="0.35"/>
  <cols>
    <col min="6" max="6" width="30.81640625" bestFit="1" customWidth="1"/>
    <col min="7" max="7" width="48.1796875" bestFit="1" customWidth="1"/>
    <col min="8" max="14" width="0" hidden="1" customWidth="1"/>
    <col min="16" max="16" width="9.1796875" bestFit="1" customWidth="1"/>
  </cols>
  <sheetData>
    <row r="1" spans="1:20" x14ac:dyDescent="0.35">
      <c r="O1" t="s">
        <v>59</v>
      </c>
      <c r="P1" t="s">
        <v>60</v>
      </c>
    </row>
    <row r="2" spans="1:20" s="51" customFormat="1" ht="14" x14ac:dyDescent="0.3">
      <c r="A2" s="47" t="s">
        <v>53</v>
      </c>
      <c r="B2" s="47">
        <v>7</v>
      </c>
      <c r="C2" s="47">
        <v>1</v>
      </c>
      <c r="D2" s="47">
        <v>1</v>
      </c>
      <c r="E2" s="47">
        <v>1</v>
      </c>
      <c r="F2" s="47" t="s">
        <v>63</v>
      </c>
      <c r="G2" s="47" t="s">
        <v>5</v>
      </c>
      <c r="H2" s="47"/>
      <c r="I2" s="47"/>
      <c r="J2" s="48"/>
      <c r="K2" s="49"/>
      <c r="L2" s="48">
        <v>6.9444444444444434E-2</v>
      </c>
      <c r="M2" s="50">
        <f>SUM(N2,N8,N11)</f>
        <v>0.98958333333333348</v>
      </c>
      <c r="N2" s="48">
        <f>SUM(L2:L6,J4:J5)</f>
        <v>0.2673611111111111</v>
      </c>
      <c r="O2" s="57"/>
      <c r="P2" s="57" t="s">
        <v>35</v>
      </c>
      <c r="R2" s="52"/>
      <c r="S2" s="53"/>
      <c r="T2" s="74"/>
    </row>
    <row r="3" spans="1:20" s="68" customFormat="1" ht="14" x14ac:dyDescent="0.3">
      <c r="A3" s="62" t="s">
        <v>53</v>
      </c>
      <c r="B3" s="62">
        <v>7</v>
      </c>
      <c r="C3" s="62">
        <v>1</v>
      </c>
      <c r="D3" s="62">
        <v>1</v>
      </c>
      <c r="E3" s="62">
        <v>3</v>
      </c>
      <c r="F3" s="62"/>
      <c r="G3" s="62" t="s">
        <v>55</v>
      </c>
      <c r="H3" s="62" t="s">
        <v>1</v>
      </c>
      <c r="I3" s="62" t="s">
        <v>13</v>
      </c>
      <c r="J3" s="63">
        <v>0.14583333333333334</v>
      </c>
      <c r="K3" s="64">
        <v>6.25E-2</v>
      </c>
      <c r="L3" s="63">
        <v>5.2083333333333336E-2</v>
      </c>
      <c r="M3" s="65"/>
      <c r="N3" s="63"/>
      <c r="O3" s="75">
        <v>0.38541666666666669</v>
      </c>
      <c r="P3" s="75">
        <v>0.53125</v>
      </c>
      <c r="Q3" s="68" t="s">
        <v>67</v>
      </c>
      <c r="R3" s="69"/>
      <c r="S3" s="70"/>
    </row>
    <row r="4" spans="1:20" s="68" customFormat="1" ht="14" x14ac:dyDescent="0.3">
      <c r="A4" s="62" t="s">
        <v>53</v>
      </c>
      <c r="B4" s="62">
        <v>7</v>
      </c>
      <c r="C4" s="62">
        <v>1</v>
      </c>
      <c r="D4" s="62">
        <v>1</v>
      </c>
      <c r="E4" s="62">
        <v>2</v>
      </c>
      <c r="F4" s="62"/>
      <c r="G4" s="62" t="s">
        <v>54</v>
      </c>
      <c r="H4" s="62" t="s">
        <v>1</v>
      </c>
      <c r="I4" s="62" t="s">
        <v>2</v>
      </c>
      <c r="J4" s="63">
        <v>0.10416666666666667</v>
      </c>
      <c r="K4" s="64">
        <v>6.25E-2</v>
      </c>
      <c r="L4" s="63">
        <v>3.125E-2</v>
      </c>
      <c r="M4" s="65"/>
      <c r="N4" s="63"/>
      <c r="O4" s="67">
        <v>0.55208333333333337</v>
      </c>
      <c r="P4" s="67"/>
      <c r="R4" s="69"/>
      <c r="S4" s="70"/>
    </row>
    <row r="6" spans="1:20" s="6" customFormat="1" ht="14" x14ac:dyDescent="0.3">
      <c r="A6" s="1" t="s">
        <v>53</v>
      </c>
      <c r="B6" s="1">
        <v>7</v>
      </c>
      <c r="C6" s="1">
        <v>1</v>
      </c>
      <c r="D6" s="1">
        <v>1</v>
      </c>
      <c r="E6" s="1">
        <v>4</v>
      </c>
      <c r="F6" s="1"/>
      <c r="G6" s="1" t="s">
        <v>14</v>
      </c>
      <c r="H6" s="1"/>
      <c r="I6" s="1"/>
      <c r="J6" s="2"/>
      <c r="K6" s="3"/>
      <c r="L6" s="2">
        <v>1.0416666666666666E-2</v>
      </c>
      <c r="M6" s="5"/>
      <c r="N6" s="2"/>
      <c r="O6" s="58"/>
      <c r="P6" s="58"/>
      <c r="R6" s="7"/>
      <c r="S6" s="8"/>
    </row>
    <row r="7" spans="1:20" s="6" customFormat="1" ht="14" x14ac:dyDescent="0.3">
      <c r="A7" s="1" t="s">
        <v>53</v>
      </c>
      <c r="B7" s="1">
        <v>7</v>
      </c>
      <c r="C7" s="1">
        <v>1</v>
      </c>
      <c r="D7" s="1">
        <v>1</v>
      </c>
      <c r="E7" s="1">
        <v>5</v>
      </c>
      <c r="F7" s="1"/>
      <c r="G7" s="1" t="s">
        <v>15</v>
      </c>
      <c r="H7" s="1"/>
      <c r="I7" s="1"/>
      <c r="J7" s="2"/>
      <c r="K7" s="3"/>
      <c r="L7" s="2">
        <v>4.8611111111111112E-2</v>
      </c>
      <c r="M7" s="5"/>
      <c r="N7" s="2"/>
      <c r="O7" s="58"/>
      <c r="P7" s="61">
        <v>0.3125</v>
      </c>
      <c r="R7" s="7"/>
      <c r="S7" s="8"/>
    </row>
    <row r="8" spans="1:20" s="68" customFormat="1" ht="14" x14ac:dyDescent="0.3">
      <c r="A8" s="62" t="s">
        <v>53</v>
      </c>
      <c r="B8" s="62">
        <v>7</v>
      </c>
      <c r="C8" s="62">
        <v>1</v>
      </c>
      <c r="D8" s="62">
        <v>2</v>
      </c>
      <c r="E8" s="62">
        <v>1</v>
      </c>
      <c r="F8" s="62"/>
      <c r="G8" s="62" t="s">
        <v>56</v>
      </c>
      <c r="H8" s="62" t="s">
        <v>1</v>
      </c>
      <c r="I8" s="62" t="s">
        <v>2</v>
      </c>
      <c r="J8" s="63">
        <v>0.14583333333333334</v>
      </c>
      <c r="K8" s="64">
        <v>6.25E-2</v>
      </c>
      <c r="L8" s="63">
        <v>3.125E-2</v>
      </c>
      <c r="M8" s="65"/>
      <c r="N8" s="63">
        <f>SUM(L7:L10,J8:J9)</f>
        <v>0.36805555555555558</v>
      </c>
      <c r="O8" s="67">
        <v>0.35416666666666669</v>
      </c>
      <c r="P8" s="67">
        <v>0.5</v>
      </c>
      <c r="Q8" s="68" t="s">
        <v>61</v>
      </c>
      <c r="R8" s="69"/>
      <c r="S8" s="70"/>
    </row>
    <row r="9" spans="1:20" s="68" customFormat="1" x14ac:dyDescent="0.35">
      <c r="A9" s="62" t="s">
        <v>53</v>
      </c>
      <c r="B9" s="62">
        <v>7</v>
      </c>
      <c r="C9" s="62">
        <v>1</v>
      </c>
      <c r="D9" s="62">
        <v>2</v>
      </c>
      <c r="E9" s="62">
        <v>2</v>
      </c>
      <c r="F9" s="73"/>
      <c r="G9" s="73" t="s">
        <v>65</v>
      </c>
      <c r="H9" s="62" t="s">
        <v>1</v>
      </c>
      <c r="I9" s="62" t="s">
        <v>9</v>
      </c>
      <c r="J9" s="63">
        <v>0.10416666666666667</v>
      </c>
      <c r="K9" s="64">
        <v>6.25E-2</v>
      </c>
      <c r="L9" s="63">
        <v>2.7777777777777776E-2</v>
      </c>
      <c r="M9" s="65"/>
      <c r="N9" s="63"/>
      <c r="O9" s="71">
        <v>0.52777777777777779</v>
      </c>
      <c r="P9" s="67">
        <v>0.63541666666666663</v>
      </c>
      <c r="R9" s="69"/>
      <c r="S9" s="70"/>
    </row>
    <row r="10" spans="1:20" s="6" customFormat="1" ht="14" x14ac:dyDescent="0.3">
      <c r="A10" s="1" t="s">
        <v>53</v>
      </c>
      <c r="B10" s="1">
        <v>7</v>
      </c>
      <c r="C10" s="1">
        <v>1</v>
      </c>
      <c r="D10" s="1">
        <v>2</v>
      </c>
      <c r="E10" s="1">
        <v>3</v>
      </c>
      <c r="F10" s="1"/>
      <c r="G10" s="1" t="s">
        <v>14</v>
      </c>
      <c r="H10" s="1"/>
      <c r="I10" s="1"/>
      <c r="J10" s="2"/>
      <c r="K10" s="3"/>
      <c r="L10" s="2">
        <v>1.0416666666666666E-2</v>
      </c>
      <c r="M10" s="5"/>
      <c r="N10" s="2"/>
      <c r="O10" s="58"/>
      <c r="P10" s="58"/>
      <c r="R10" s="7"/>
      <c r="S10" s="8"/>
    </row>
    <row r="11" spans="1:20" s="6" customFormat="1" ht="14" x14ac:dyDescent="0.3">
      <c r="A11" s="1" t="s">
        <v>53</v>
      </c>
      <c r="B11" s="1">
        <v>7</v>
      </c>
      <c r="C11" s="1">
        <v>1</v>
      </c>
      <c r="D11" s="1">
        <v>2</v>
      </c>
      <c r="E11" s="1">
        <v>4</v>
      </c>
      <c r="F11" s="1"/>
      <c r="G11" s="1" t="s">
        <v>15</v>
      </c>
      <c r="H11" s="1"/>
      <c r="I11" s="1"/>
      <c r="J11" s="2"/>
      <c r="K11" s="3"/>
      <c r="L11" s="2">
        <v>4.1666666666666664E-2</v>
      </c>
      <c r="M11" s="5"/>
      <c r="N11" s="2">
        <f>SUM(L11:L14,J12:J13)</f>
        <v>0.35416666666666669</v>
      </c>
      <c r="P11" s="58"/>
      <c r="R11" s="7"/>
      <c r="S11" s="8"/>
      <c r="T11" s="6" t="s">
        <v>68</v>
      </c>
    </row>
    <row r="12" spans="1:20" s="68" customFormat="1" x14ac:dyDescent="0.35">
      <c r="A12" s="62" t="s">
        <v>53</v>
      </c>
      <c r="B12" s="62">
        <v>7</v>
      </c>
      <c r="C12" s="62">
        <v>1</v>
      </c>
      <c r="D12" s="62">
        <v>3</v>
      </c>
      <c r="E12" s="62">
        <v>1</v>
      </c>
      <c r="F12" s="73" t="s">
        <v>62</v>
      </c>
      <c r="G12" s="72" t="s">
        <v>57</v>
      </c>
      <c r="H12" s="62" t="s">
        <v>1</v>
      </c>
      <c r="I12" s="62" t="s">
        <v>2</v>
      </c>
      <c r="J12" s="63">
        <v>0.14583333333333334</v>
      </c>
      <c r="K12" s="64">
        <v>6.25E-2</v>
      </c>
      <c r="L12" s="63">
        <v>1.3888888888888888E-2</v>
      </c>
      <c r="M12" s="65"/>
      <c r="N12" s="63"/>
      <c r="O12" s="67">
        <v>0.36458333333333331</v>
      </c>
      <c r="P12" s="67">
        <v>0.48958333333333331</v>
      </c>
      <c r="R12" s="69"/>
      <c r="S12" s="70"/>
    </row>
    <row r="13" spans="1:20" s="68" customFormat="1" ht="14" x14ac:dyDescent="0.3">
      <c r="A13" s="62" t="s">
        <v>53</v>
      </c>
      <c r="B13" s="62">
        <v>7</v>
      </c>
      <c r="C13" s="62">
        <v>1</v>
      </c>
      <c r="D13" s="62">
        <v>3</v>
      </c>
      <c r="E13" s="62">
        <v>2</v>
      </c>
      <c r="F13" s="62" t="s">
        <v>64</v>
      </c>
      <c r="G13" s="72" t="s">
        <v>58</v>
      </c>
      <c r="H13" s="62" t="s">
        <v>1</v>
      </c>
      <c r="I13" s="62" t="s">
        <v>2</v>
      </c>
      <c r="J13" s="63">
        <v>0.10416666666666667</v>
      </c>
      <c r="K13" s="64">
        <v>6.25E-2</v>
      </c>
      <c r="L13" s="63">
        <v>3.8194444444444441E-2</v>
      </c>
      <c r="M13" s="65"/>
      <c r="N13" s="63"/>
      <c r="O13" s="67">
        <v>0.5</v>
      </c>
      <c r="P13" s="66"/>
      <c r="Q13" s="68" t="s">
        <v>66</v>
      </c>
      <c r="R13" s="69"/>
      <c r="S13" s="70"/>
    </row>
    <row r="14" spans="1:20" s="6" customFormat="1" ht="14" x14ac:dyDescent="0.3">
      <c r="A14" s="1" t="s">
        <v>53</v>
      </c>
      <c r="B14" s="1">
        <v>7</v>
      </c>
      <c r="C14" s="1">
        <v>1</v>
      </c>
      <c r="D14" s="1">
        <v>3</v>
      </c>
      <c r="E14" s="1">
        <v>3</v>
      </c>
      <c r="F14" s="1"/>
      <c r="G14" s="1" t="s">
        <v>14</v>
      </c>
      <c r="H14" s="1"/>
      <c r="I14" s="1"/>
      <c r="J14" s="2"/>
      <c r="K14" s="3"/>
      <c r="L14" s="2">
        <v>1.0416666666666666E-2</v>
      </c>
      <c r="M14" s="5"/>
      <c r="N14" s="2"/>
      <c r="O14" s="58"/>
      <c r="P14" s="58"/>
      <c r="R14" s="7"/>
      <c r="S14" s="8"/>
    </row>
    <row r="15" spans="1:20" s="54" customFormat="1" ht="14" x14ac:dyDescent="0.3">
      <c r="A15" s="9" t="s">
        <v>53</v>
      </c>
      <c r="B15" s="9">
        <v>7</v>
      </c>
      <c r="C15" s="9">
        <v>1</v>
      </c>
      <c r="D15" s="9">
        <v>3</v>
      </c>
      <c r="E15" s="9">
        <v>4</v>
      </c>
      <c r="F15" s="9"/>
      <c r="G15" s="9" t="s">
        <v>15</v>
      </c>
      <c r="H15" s="9"/>
      <c r="I15" s="9"/>
      <c r="J15" s="10"/>
      <c r="K15" s="11"/>
      <c r="L15" s="10"/>
      <c r="M15" s="12"/>
      <c r="N15" s="10"/>
      <c r="O15" s="59"/>
      <c r="P15" s="60"/>
      <c r="R15" s="55"/>
      <c r="S15" s="5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FE0689EB6A34B8FD0A6FA09E592A5" ma:contentTypeVersion="15" ma:contentTypeDescription="Create a new document." ma:contentTypeScope="" ma:versionID="68345da6ad4747fd7047d911bc8c750d">
  <xsd:schema xmlns:xsd="http://www.w3.org/2001/XMLSchema" xmlns:xs="http://www.w3.org/2001/XMLSchema" xmlns:p="http://schemas.microsoft.com/office/2006/metadata/properties" xmlns:ns2="acbbcf92-dd6b-4dba-b147-b92536c78c64" xmlns:ns3="2f539d1d-92f9-444b-9706-8835d5e7c111" targetNamespace="http://schemas.microsoft.com/office/2006/metadata/properties" ma:root="true" ma:fieldsID="0500e982d4fc39efe501a0b3f31819a8" ns2:_="" ns3:_="">
    <xsd:import namespace="acbbcf92-dd6b-4dba-b147-b92536c78c64"/>
    <xsd:import namespace="2f539d1d-92f9-444b-9706-8835d5e7c11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bcf92-dd6b-4dba-b147-b92536c78c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fcafad2-6251-403b-914f-8249c2953b14}" ma:internalName="TaxCatchAll" ma:showField="CatchAllData" ma:web="acbbcf92-dd6b-4dba-b147-b92536c78c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539d1d-92f9-444b-9706-8835d5e7c1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39e25b7-0a97-41c9-a156-d5f3062356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2E7F0A-851D-4CF1-9657-57DC1EB34B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bbcf92-dd6b-4dba-b147-b92536c78c64"/>
    <ds:schemaRef ds:uri="2f539d1d-92f9-444b-9706-8835d5e7c1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F59AF0-1BC1-43C7-8AB0-D3480BD09D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PWS1</vt:lpstr>
      <vt:lpstr>PWS2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Coppola, Giancarlo X (DEC)</dc:creator>
  <cp:lastModifiedBy>Coppola, Giancarlo X (DEC)</cp:lastModifiedBy>
  <dcterms:created xsi:type="dcterms:W3CDTF">2024-05-07T19:03:49Z</dcterms:created>
  <dcterms:modified xsi:type="dcterms:W3CDTF">2024-07-09T11:13:09Z</dcterms:modified>
</cp:coreProperties>
</file>